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an.souza\Downloads\ihc\respostas\codigos\"/>
    </mc:Choice>
  </mc:AlternateContent>
  <xr:revisionPtr revIDLastSave="0" documentId="13_ncr:1_{61D200D7-6059-48D8-8D28-5F3981FFAB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a Usabilidade" sheetId="1" r:id="rId1"/>
    <sheet name="Análise da Cobertura" sheetId="5" r:id="rId2"/>
  </sheets>
  <calcPr calcId="181029"/>
</workbook>
</file>

<file path=xl/calcChain.xml><?xml version="1.0" encoding="utf-8"?>
<calcChain xmlns="http://schemas.openxmlformats.org/spreadsheetml/2006/main">
  <c r="G1" i="1" l="1"/>
  <c r="C14" i="5" l="1"/>
  <c r="D14" i="5"/>
  <c r="B14" i="5"/>
  <c r="F4" i="1"/>
  <c r="F5" i="1"/>
  <c r="F6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3" i="1"/>
  <c r="G3" i="1" l="1"/>
  <c r="G6" i="1"/>
  <c r="G5" i="1"/>
  <c r="G4" i="1"/>
  <c r="F17" i="1"/>
  <c r="F14" i="1"/>
  <c r="F15" i="1" s="1"/>
  <c r="G14" i="1" l="1"/>
  <c r="H12" i="1"/>
  <c r="H3" i="1"/>
  <c r="H9" i="1"/>
  <c r="H4" i="1"/>
  <c r="H6" i="1"/>
  <c r="H7" i="1"/>
  <c r="H8" i="1"/>
  <c r="H5" i="1"/>
  <c r="H10" i="1"/>
  <c r="H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Glivia</author>
    <author>Deborah D Carlo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Glivia:</t>
        </r>
        <r>
          <rPr>
            <sz val="9"/>
            <color indexed="81"/>
            <rFont val="Tahoma"/>
            <family val="2"/>
          </rPr>
          <t xml:space="preserve">
Para cada problema em que a heurística H for violada, marque um X</t>
        </r>
      </text>
    </comment>
    <comment ref="F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Quantas vezes a mesma heurística foi violada</t>
        </r>
      </text>
    </comment>
    <comment ref="G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Total de incidência da heurística x/ total de problemas</t>
        </r>
      </text>
    </comment>
    <comment ref="H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Total de incidência da heurística x/ total de violações</t>
        </r>
      </text>
    </comment>
    <comment ref="G15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Glivia:</t>
        </r>
        <r>
          <rPr>
            <sz val="9"/>
            <color indexed="81"/>
            <rFont val="Tahoma"/>
            <charset val="1"/>
          </rPr>
          <t xml:space="preserve">
Considera que quanto mais incidencia nos problemas, maior o peso da violação da heuristica 
Nesse calculo, cada heuristica tem valor de 0 a 1 (equivalente a sua incidencia - qnto mais prox de 1, mais incidente nos problemas)
Calcula-se entao o somatorio das incidenticas, dividio pelo total de heuristicas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Glivia</author>
    <author>Deborah D Carlo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Glivia:</t>
        </r>
        <r>
          <rPr>
            <sz val="9"/>
            <color indexed="81"/>
            <rFont val="Tahoma"/>
            <family val="2"/>
          </rPr>
          <t xml:space="preserve">
Para cada heurística, marque um X na opção mais adequada</t>
        </r>
      </text>
    </comment>
    <comment ref="C2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Atenção para essa análise, porque as vezes o fato de não violar a heurística, não significa que ela automaticamente esta presente. Ela pode ser irrelevante para o contexto da app</t>
        </r>
      </text>
    </comment>
    <comment ref="H2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Quantas vezes a mesma heurística foi violada</t>
        </r>
      </text>
    </comment>
    <comment ref="I2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Total de incidência da heurística x/ total de problemas</t>
        </r>
      </text>
    </comment>
    <comment ref="J2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Deborah D Carlo:</t>
        </r>
        <r>
          <rPr>
            <sz val="9"/>
            <color indexed="81"/>
            <rFont val="Tahoma"/>
            <family val="2"/>
          </rPr>
          <t xml:space="preserve">
Total de incidência da heurística x/ total de violações</t>
        </r>
      </text>
    </comment>
  </commentList>
</comments>
</file>

<file path=xl/sharedStrings.xml><?xml version="1.0" encoding="utf-8"?>
<sst xmlns="http://schemas.openxmlformats.org/spreadsheetml/2006/main" count="62" uniqueCount="36">
  <si>
    <t>P1</t>
  </si>
  <si>
    <t>P2</t>
  </si>
  <si>
    <t>P3</t>
  </si>
  <si>
    <t>Incidência de violação da heurística</t>
  </si>
  <si>
    <t>Quantidade de heurísticas violadas</t>
  </si>
  <si>
    <t>Percentual de heurísticas violadas</t>
  </si>
  <si>
    <t>Percentual de incidência nos problemas</t>
  </si>
  <si>
    <t>Total de Problemas</t>
  </si>
  <si>
    <t>Somatório da incidência entre as violações</t>
  </si>
  <si>
    <t>Percentual de incidência nas violações</t>
  </si>
  <si>
    <t>NÍVEL DE GRAVIDADE DO PROBLEMA</t>
  </si>
  <si>
    <t>Incidência da gravidade 0</t>
  </si>
  <si>
    <t>Incidência da gravidade 1</t>
  </si>
  <si>
    <t>Incidência da gravidade 2</t>
  </si>
  <si>
    <t>Incidência da gravidade 3</t>
  </si>
  <si>
    <t>Incidência da gravidade 4</t>
  </si>
  <si>
    <t>Heurística Violada (pelo menos uma vez)</t>
  </si>
  <si>
    <t>Heurística Presente na Solução</t>
  </si>
  <si>
    <t>Heurística não Aplicável para o Contexto</t>
  </si>
  <si>
    <t>Total</t>
  </si>
  <si>
    <t>Diretriz</t>
  </si>
  <si>
    <t>H1. Visibilidade do estado do sistema</t>
  </si>
  <si>
    <t>H2. Correspondência entre o sistema e o mundo real</t>
  </si>
  <si>
    <t>H3. Controle e liberdade do usuário</t>
  </si>
  <si>
    <t>H4. Consistência e padronização</t>
  </si>
  <si>
    <t>H5. Prevenção de erro</t>
  </si>
  <si>
    <t>H6. Ajuda aos usuários para reconhecerem, diagnosticarem e se recuperarem de erros</t>
  </si>
  <si>
    <t>H7. Reconhecimento em vez de memorização</t>
  </si>
  <si>
    <t>H8. Flexibilidade e eficiência de uso</t>
  </si>
  <si>
    <t>H9. Design estético e minimalista</t>
  </si>
  <si>
    <t xml:space="preserve">H10. Ajuda e documentação </t>
  </si>
  <si>
    <t>x</t>
  </si>
  <si>
    <t>Percentual de Heuristicas Violadas com Peso das Incidências</t>
  </si>
  <si>
    <t>HEURÍSTICAS VIOLADAS</t>
  </si>
  <si>
    <r>
      <t>Análise da Avaliação Heurística:</t>
    </r>
    <r>
      <rPr>
        <b/>
        <i/>
        <sz val="11"/>
        <color theme="1"/>
        <rFont val="Calibri"/>
        <family val="2"/>
        <scheme val="minor"/>
      </rPr>
      <t xml:space="preserve"> Consolidada</t>
    </r>
    <r>
      <rPr>
        <b/>
        <sz val="11"/>
        <color theme="1"/>
        <rFont val="Calibri"/>
        <family val="2"/>
        <scheme val="minor"/>
      </rPr>
      <t xml:space="preserve">
Solução Tecnológica Avaliada: </t>
    </r>
    <r>
      <rPr>
        <b/>
        <i/>
        <sz val="11"/>
        <color theme="1"/>
        <rFont val="Calibri"/>
        <family val="2"/>
        <scheme val="minor"/>
      </rPr>
      <t>Google Maps</t>
    </r>
    <r>
      <rPr>
        <b/>
        <sz val="11"/>
        <color theme="1"/>
        <rFont val="Calibri"/>
        <family val="2"/>
        <scheme val="minor"/>
      </rPr>
      <t xml:space="preserve">
Avaliadore(s): </t>
    </r>
    <r>
      <rPr>
        <b/>
        <i/>
        <sz val="11"/>
        <color theme="1"/>
        <rFont val="Calibri"/>
        <family val="2"/>
        <scheme val="minor"/>
      </rPr>
      <t>Luan Marcelino de Souza e Vitor Mendes de Oliveira Abreu</t>
    </r>
  </si>
  <si>
    <r>
      <t>Análise da Avaliação Heurística:</t>
    </r>
    <r>
      <rPr>
        <b/>
        <i/>
        <sz val="11"/>
        <color theme="1"/>
        <rFont val="Calibri"/>
        <family val="2"/>
        <scheme val="minor"/>
      </rPr>
      <t xml:space="preserve"> Consolidada</t>
    </r>
    <r>
      <rPr>
        <b/>
        <sz val="11"/>
        <color theme="1"/>
        <rFont val="Calibri"/>
        <family val="2"/>
        <scheme val="minor"/>
      </rPr>
      <t xml:space="preserve">
Solução Tecnológica Avaliada: Google Maps
Avaliadore(s): </t>
    </r>
    <r>
      <rPr>
        <b/>
        <i/>
        <sz val="11"/>
        <color theme="1"/>
        <rFont val="Calibri"/>
        <family val="2"/>
        <scheme val="minor"/>
      </rPr>
      <t>Luan Marcelino de Souza e Vitor Mendes de Oliveira Abreu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</si>
</sst>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5" tint="0.7999816888943144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left" vertical="center" wrapText="1" indent="2"/>
    </xf>
    <xf numFmtId="9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12" borderId="0" xfId="0" applyFont="1" applyFill="1" applyAlignment="1">
      <alignment wrapText="1"/>
    </xf>
    <xf numFmtId="0" fontId="2" fillId="7" borderId="3" xfId="0" applyFont="1" applyFill="1" applyBorder="1" applyAlignment="1">
      <alignment horizontal="left" vertical="center" wrapText="1" indent="2"/>
    </xf>
    <xf numFmtId="0" fontId="2" fillId="5" borderId="1" xfId="0" applyFont="1" applyFill="1" applyBorder="1" applyAlignment="1">
      <alignment vertical="center" wrapText="1"/>
    </xf>
    <xf numFmtId="0" fontId="5" fillId="14" borderId="2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left" vertical="center" wrapText="1" indent="2"/>
    </xf>
    <xf numFmtId="0" fontId="7" fillId="1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9" fontId="2" fillId="18" borderId="1" xfId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9" fontId="2" fillId="17" borderId="1" xfId="1" applyFont="1" applyFill="1" applyBorder="1" applyAlignment="1">
      <alignment horizontal="center"/>
    </xf>
    <xf numFmtId="0" fontId="5" fillId="19" borderId="1" xfId="0" applyFont="1" applyFill="1" applyBorder="1"/>
    <xf numFmtId="9" fontId="2" fillId="8" borderId="1" xfId="1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horizontal="center"/>
    </xf>
    <xf numFmtId="0" fontId="0" fillId="0" borderId="1" xfId="0" applyBorder="1"/>
    <xf numFmtId="9" fontId="0" fillId="21" borderId="0" xfId="1" applyFont="1" applyFill="1" applyAlignment="1">
      <alignment horizontal="center"/>
    </xf>
    <xf numFmtId="0" fontId="10" fillId="6" borderId="1" xfId="0" applyFont="1" applyFill="1" applyBorder="1" applyAlignment="1">
      <alignment horizontal="left" vertical="center" wrapText="1" indent="2"/>
    </xf>
    <xf numFmtId="0" fontId="10" fillId="6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CC66FF"/>
      <color rgb="FFD60093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24" sqref="F24"/>
    </sheetView>
  </sheetViews>
  <sheetFormatPr defaultRowHeight="15" x14ac:dyDescent="0.25"/>
  <cols>
    <col min="1" max="1" width="92.7109375" bestFit="1" customWidth="1"/>
    <col min="2" max="4" width="9.140625" style="3"/>
    <col min="5" max="5" width="36.7109375" bestFit="1" customWidth="1"/>
    <col min="6" max="6" width="32.85546875" style="3" bestFit="1" customWidth="1"/>
    <col min="7" max="7" width="55.5703125" style="3" bestFit="1" customWidth="1"/>
    <col min="8" max="8" width="35.7109375" style="3" bestFit="1" customWidth="1"/>
  </cols>
  <sheetData>
    <row r="1" spans="1:11" ht="45.75" thickBot="1" x14ac:dyDescent="0.3">
      <c r="A1" s="11" t="s">
        <v>34</v>
      </c>
      <c r="F1" s="17" t="s">
        <v>7</v>
      </c>
      <c r="G1" s="18">
        <f>COUNTIF(B2:E2,"&gt;""")</f>
        <v>3</v>
      </c>
      <c r="H1" s="5"/>
      <c r="I1" s="4"/>
      <c r="J1" s="4"/>
      <c r="K1" s="4"/>
    </row>
    <row r="2" spans="1:11" x14ac:dyDescent="0.25">
      <c r="A2" s="12" t="s">
        <v>33</v>
      </c>
      <c r="B2" s="14" t="s">
        <v>0</v>
      </c>
      <c r="C2" s="15" t="s">
        <v>1</v>
      </c>
      <c r="D2" s="15" t="s">
        <v>2</v>
      </c>
      <c r="F2" s="22" t="s">
        <v>3</v>
      </c>
      <c r="G2" s="21" t="s">
        <v>6</v>
      </c>
      <c r="H2" s="20" t="s">
        <v>9</v>
      </c>
      <c r="I2" s="4"/>
      <c r="J2" s="4"/>
      <c r="K2" s="4"/>
    </row>
    <row r="3" spans="1:11" x14ac:dyDescent="0.25">
      <c r="A3" s="13" t="s">
        <v>21</v>
      </c>
      <c r="B3" s="10"/>
      <c r="C3" s="10" t="s">
        <v>31</v>
      </c>
      <c r="D3" s="10" t="s">
        <v>31</v>
      </c>
      <c r="F3" s="22">
        <f>COUNTIF(B3:E3,"x")</f>
        <v>2</v>
      </c>
      <c r="G3" s="23">
        <f>F3/G$1</f>
        <v>0.66666666666666663</v>
      </c>
      <c r="H3" s="25">
        <f>F3/F$17</f>
        <v>0.2857142857142857</v>
      </c>
    </row>
    <row r="4" spans="1:11" x14ac:dyDescent="0.25">
      <c r="A4" s="13" t="s">
        <v>22</v>
      </c>
      <c r="B4" s="10"/>
      <c r="C4" s="6"/>
      <c r="D4" s="6" t="s">
        <v>31</v>
      </c>
      <c r="F4" s="22">
        <f>COUNTIF(B4:E4,"x")</f>
        <v>1</v>
      </c>
      <c r="G4" s="23">
        <f t="shared" ref="G4:G12" si="0">F4/G$1</f>
        <v>0.33333333333333331</v>
      </c>
      <c r="H4" s="25">
        <f t="shared" ref="H4:H12" si="1">F4/F$17</f>
        <v>0.14285714285714285</v>
      </c>
    </row>
    <row r="5" spans="1:11" x14ac:dyDescent="0.25">
      <c r="A5" s="13" t="s">
        <v>23</v>
      </c>
      <c r="B5" s="10"/>
      <c r="C5" s="6"/>
      <c r="D5" s="6"/>
      <c r="F5" s="22">
        <f>COUNTIF(B5:E5,"x")</f>
        <v>0</v>
      </c>
      <c r="G5" s="23">
        <f t="shared" si="0"/>
        <v>0</v>
      </c>
      <c r="H5" s="25">
        <f t="shared" si="1"/>
        <v>0</v>
      </c>
    </row>
    <row r="6" spans="1:11" x14ac:dyDescent="0.25">
      <c r="A6" s="13" t="s">
        <v>24</v>
      </c>
      <c r="B6" s="10" t="s">
        <v>31</v>
      </c>
      <c r="C6" s="6"/>
      <c r="D6" s="6"/>
      <c r="F6" s="22">
        <f>COUNTIF(B6:E6,"x")</f>
        <v>1</v>
      </c>
      <c r="G6" s="23">
        <f t="shared" si="0"/>
        <v>0.33333333333333331</v>
      </c>
      <c r="H6" s="25">
        <f t="shared" si="1"/>
        <v>0.14285714285714285</v>
      </c>
    </row>
    <row r="7" spans="1:11" x14ac:dyDescent="0.25">
      <c r="A7" s="13" t="s">
        <v>25</v>
      </c>
      <c r="B7" s="10"/>
      <c r="C7" s="6" t="s">
        <v>31</v>
      </c>
      <c r="D7" s="6" t="s">
        <v>31</v>
      </c>
      <c r="F7" s="22">
        <f>COUNTIF(B7:E7,"x")</f>
        <v>2</v>
      </c>
      <c r="G7" s="23">
        <f t="shared" si="0"/>
        <v>0.66666666666666663</v>
      </c>
      <c r="H7" s="25">
        <f t="shared" si="1"/>
        <v>0.2857142857142857</v>
      </c>
    </row>
    <row r="8" spans="1:11" x14ac:dyDescent="0.25">
      <c r="A8" s="13" t="s">
        <v>26</v>
      </c>
      <c r="B8" s="10"/>
      <c r="C8" s="6"/>
      <c r="D8" s="6"/>
      <c r="F8" s="22">
        <f>COUNTIF(B8:E8,"x")</f>
        <v>0</v>
      </c>
      <c r="G8" s="23">
        <f>F8/G$1</f>
        <v>0</v>
      </c>
      <c r="H8" s="25">
        <f t="shared" si="1"/>
        <v>0</v>
      </c>
    </row>
    <row r="9" spans="1:11" x14ac:dyDescent="0.25">
      <c r="A9" s="13" t="s">
        <v>27</v>
      </c>
      <c r="B9" s="10" t="s">
        <v>31</v>
      </c>
      <c r="C9" s="6"/>
      <c r="D9" s="6"/>
      <c r="F9" s="22">
        <f>COUNTIF(B9:E9,"x")</f>
        <v>1</v>
      </c>
      <c r="G9" s="23">
        <f t="shared" si="0"/>
        <v>0.33333333333333331</v>
      </c>
      <c r="H9" s="25">
        <f t="shared" si="1"/>
        <v>0.14285714285714285</v>
      </c>
    </row>
    <row r="10" spans="1:11" x14ac:dyDescent="0.25">
      <c r="A10" s="13" t="s">
        <v>28</v>
      </c>
      <c r="B10" s="10"/>
      <c r="C10" s="6"/>
      <c r="D10" s="6"/>
      <c r="F10" s="22">
        <f>COUNTIF(B10:E10,"x")</f>
        <v>0</v>
      </c>
      <c r="G10" s="23">
        <f t="shared" si="0"/>
        <v>0</v>
      </c>
      <c r="H10" s="25">
        <f t="shared" si="1"/>
        <v>0</v>
      </c>
    </row>
    <row r="11" spans="1:11" x14ac:dyDescent="0.25">
      <c r="A11" s="13" t="s">
        <v>29</v>
      </c>
      <c r="B11" s="10"/>
      <c r="C11" s="6"/>
      <c r="D11" s="6"/>
      <c r="F11" s="22">
        <f>COUNTIF(B11:E11,"x")</f>
        <v>0</v>
      </c>
      <c r="G11" s="23">
        <f t="shared" si="0"/>
        <v>0</v>
      </c>
      <c r="H11" s="25">
        <f t="shared" si="1"/>
        <v>0</v>
      </c>
    </row>
    <row r="12" spans="1:11" x14ac:dyDescent="0.25">
      <c r="A12" s="13" t="s">
        <v>30</v>
      </c>
      <c r="B12" s="10"/>
      <c r="C12" s="6"/>
      <c r="D12" s="6"/>
      <c r="F12" s="22">
        <f>COUNTIF(B12:E12,"x")</f>
        <v>0</v>
      </c>
      <c r="G12" s="23">
        <f t="shared" si="0"/>
        <v>0</v>
      </c>
      <c r="H12" s="25">
        <f t="shared" si="1"/>
        <v>0</v>
      </c>
    </row>
    <row r="13" spans="1:11" x14ac:dyDescent="0.25">
      <c r="A13" s="1"/>
    </row>
    <row r="14" spans="1:11" x14ac:dyDescent="0.25">
      <c r="A14" s="16" t="s">
        <v>10</v>
      </c>
      <c r="B14" s="5">
        <v>2</v>
      </c>
      <c r="C14" s="5">
        <v>2</v>
      </c>
      <c r="D14" s="5">
        <v>3</v>
      </c>
      <c r="E14" s="26" t="s">
        <v>4</v>
      </c>
      <c r="F14" s="8">
        <f>COUNTIF(F3:F12,"&gt;0")</f>
        <v>5</v>
      </c>
      <c r="G14" s="33">
        <f>SUM(G3:G12)/10</f>
        <v>0.23333333333333334</v>
      </c>
    </row>
    <row r="15" spans="1:11" x14ac:dyDescent="0.25">
      <c r="E15" s="26" t="s">
        <v>5</v>
      </c>
      <c r="F15" s="27">
        <f>F14/10</f>
        <v>0.5</v>
      </c>
      <c r="G15" s="26" t="s">
        <v>32</v>
      </c>
    </row>
    <row r="16" spans="1:11" x14ac:dyDescent="0.25">
      <c r="A16" s="34" t="s">
        <v>11</v>
      </c>
      <c r="B16" s="35">
        <v>0</v>
      </c>
      <c r="F16" s="4"/>
    </row>
    <row r="17" spans="1:6" x14ac:dyDescent="0.25">
      <c r="A17" s="34" t="s">
        <v>12</v>
      </c>
      <c r="B17" s="35">
        <v>0</v>
      </c>
      <c r="E17" s="28" t="s">
        <v>8</v>
      </c>
      <c r="F17" s="19">
        <f>SUM(F3:F12)</f>
        <v>7</v>
      </c>
    </row>
    <row r="18" spans="1:6" x14ac:dyDescent="0.25">
      <c r="A18" s="34" t="s">
        <v>13</v>
      </c>
      <c r="B18" s="35">
        <v>2</v>
      </c>
    </row>
    <row r="19" spans="1:6" x14ac:dyDescent="0.25">
      <c r="A19" s="34" t="s">
        <v>14</v>
      </c>
      <c r="B19" s="35">
        <v>1</v>
      </c>
    </row>
    <row r="20" spans="1:6" x14ac:dyDescent="0.25">
      <c r="A20" s="34" t="s">
        <v>15</v>
      </c>
      <c r="B20" s="35">
        <v>0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" sqref="C13"/>
    </sheetView>
  </sheetViews>
  <sheetFormatPr defaultRowHeight="15" x14ac:dyDescent="0.25"/>
  <cols>
    <col min="1" max="1" width="89" customWidth="1"/>
    <col min="2" max="2" width="38" bestFit="1" customWidth="1"/>
    <col min="3" max="3" width="28.7109375" bestFit="1" customWidth="1"/>
    <col min="4" max="4" width="37.42578125" bestFit="1" customWidth="1"/>
    <col min="7" max="7" width="39.42578125" bestFit="1" customWidth="1"/>
    <col min="8" max="8" width="32.7109375" bestFit="1" customWidth="1"/>
    <col min="9" max="9" width="37" bestFit="1" customWidth="1"/>
  </cols>
  <sheetData>
    <row r="1" spans="1:10" ht="45" x14ac:dyDescent="0.25">
      <c r="A1" s="11" t="s">
        <v>35</v>
      </c>
    </row>
    <row r="2" spans="1:10" s="4" customFormat="1" x14ac:dyDescent="0.25">
      <c r="A2" s="29" t="s">
        <v>20</v>
      </c>
      <c r="B2" s="7" t="s">
        <v>16</v>
      </c>
      <c r="C2" s="9" t="s">
        <v>17</v>
      </c>
      <c r="D2" s="31" t="s">
        <v>18</v>
      </c>
    </row>
    <row r="3" spans="1:10" x14ac:dyDescent="0.25">
      <c r="A3" s="30" t="s">
        <v>21</v>
      </c>
      <c r="B3" s="32" t="s">
        <v>31</v>
      </c>
      <c r="C3" s="32"/>
      <c r="D3" s="32"/>
      <c r="I3" s="2"/>
      <c r="J3" s="2"/>
    </row>
    <row r="4" spans="1:10" x14ac:dyDescent="0.25">
      <c r="A4" s="30" t="s">
        <v>22</v>
      </c>
      <c r="B4" s="32" t="s">
        <v>31</v>
      </c>
      <c r="C4" s="32"/>
      <c r="D4" s="32"/>
      <c r="I4" s="2"/>
      <c r="J4" s="2"/>
    </row>
    <row r="5" spans="1:10" x14ac:dyDescent="0.25">
      <c r="A5" s="30" t="s">
        <v>23</v>
      </c>
      <c r="B5" s="32"/>
      <c r="C5" s="32" t="s">
        <v>31</v>
      </c>
      <c r="D5" s="32"/>
      <c r="I5" s="2"/>
      <c r="J5" s="2"/>
    </row>
    <row r="6" spans="1:10" x14ac:dyDescent="0.25">
      <c r="A6" s="30" t="s">
        <v>24</v>
      </c>
      <c r="B6" s="32" t="s">
        <v>31</v>
      </c>
      <c r="C6" s="32"/>
      <c r="D6" s="32"/>
      <c r="I6" s="2"/>
      <c r="J6" s="2"/>
    </row>
    <row r="7" spans="1:10" x14ac:dyDescent="0.25">
      <c r="A7" s="30" t="s">
        <v>25</v>
      </c>
      <c r="B7" s="32" t="s">
        <v>31</v>
      </c>
      <c r="C7" s="32"/>
      <c r="D7" s="32"/>
      <c r="I7" s="2"/>
      <c r="J7" s="2"/>
    </row>
    <row r="8" spans="1:10" x14ac:dyDescent="0.25">
      <c r="A8" s="30" t="s">
        <v>26</v>
      </c>
      <c r="B8" s="32"/>
      <c r="C8" s="32" t="s">
        <v>31</v>
      </c>
      <c r="D8" s="32"/>
      <c r="I8" s="2"/>
      <c r="J8" s="2"/>
    </row>
    <row r="9" spans="1:10" x14ac:dyDescent="0.25">
      <c r="A9" s="30" t="s">
        <v>27</v>
      </c>
      <c r="B9" s="32" t="s">
        <v>31</v>
      </c>
      <c r="C9" s="32"/>
      <c r="D9" s="32"/>
      <c r="I9" s="2"/>
      <c r="J9" s="2"/>
    </row>
    <row r="10" spans="1:10" x14ac:dyDescent="0.25">
      <c r="A10" s="30" t="s">
        <v>28</v>
      </c>
      <c r="B10" s="32"/>
      <c r="C10" s="32" t="s">
        <v>31</v>
      </c>
      <c r="D10" s="32"/>
      <c r="I10" s="2"/>
      <c r="J10" s="2"/>
    </row>
    <row r="11" spans="1:10" x14ac:dyDescent="0.25">
      <c r="A11" s="30" t="s">
        <v>29</v>
      </c>
      <c r="B11" s="32"/>
      <c r="C11" s="32" t="s">
        <v>31</v>
      </c>
      <c r="D11" s="32"/>
      <c r="I11" s="2"/>
      <c r="J11" s="2"/>
    </row>
    <row r="12" spans="1:10" x14ac:dyDescent="0.25">
      <c r="A12" s="30" t="s">
        <v>30</v>
      </c>
      <c r="B12" s="32"/>
      <c r="C12" s="32" t="s">
        <v>31</v>
      </c>
      <c r="D12" s="32"/>
      <c r="I12" s="2"/>
      <c r="J12" s="2"/>
    </row>
    <row r="13" spans="1:10" x14ac:dyDescent="0.25">
      <c r="A13" s="1"/>
    </row>
    <row r="14" spans="1:10" x14ac:dyDescent="0.25">
      <c r="A14" s="29" t="s">
        <v>19</v>
      </c>
      <c r="B14" s="7">
        <f>COUNTIF(B3:B12,"x")</f>
        <v>5</v>
      </c>
      <c r="C14" s="9">
        <f>COUNTIF(C3:C12,"x")</f>
        <v>5</v>
      </c>
      <c r="D14" s="24">
        <f>COUNTIF(D3:D12,"x")</f>
        <v>0</v>
      </c>
    </row>
    <row r="15" spans="1:10" x14ac:dyDescent="0.25">
      <c r="H15" s="2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 da Usabilidade</vt:lpstr>
      <vt:lpstr>Análise da 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D Carlo</dc:creator>
  <cp:lastModifiedBy>Luan Marcelino de Souza</cp:lastModifiedBy>
  <dcterms:created xsi:type="dcterms:W3CDTF">2014-11-27T10:19:15Z</dcterms:created>
  <dcterms:modified xsi:type="dcterms:W3CDTF">2026-10-26T18:03:18Z</dcterms:modified>
</cp:coreProperties>
</file>